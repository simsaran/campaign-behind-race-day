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77408b3b7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a9c0b8a69044515"/>
    <x:sheet xmlns:r="http://schemas.openxmlformats.org/officeDocument/2006/relationships" name="Stakeholder Tracker" sheetId="2" r:id="R2261fb161d404abe"/>
    <x:sheet xmlns:r="http://schemas.openxmlformats.org/officeDocument/2006/relationships" name="Segment Analysis" sheetId="3" r:id="Rece190dc1214479a"/>
    <x:sheet xmlns:r="http://schemas.openxmlformats.org/officeDocument/2006/relationships" name="Compliance Checklist" sheetId="4" r:id="R540d8a1b9f7c4a13"/>
    <x:sheet xmlns:r="http://schemas.openxmlformats.org/officeDocument/2006/relationships" name="Lists" sheetId="5" r:id="R7bb13d47f213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$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color rgb="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21eda197e4132" /><Relationship Type="http://schemas.openxmlformats.org/officeDocument/2006/relationships/theme" Target="/xl/theme/theme1.xml" Id="R8d339b73aecd450f" /><Relationship Type="http://schemas.openxmlformats.org/officeDocument/2006/relationships/sharedStrings" Target="/xl/sharedStrings.xml" Id="R195ba77c79cf4502" /><Relationship Type="http://schemas.openxmlformats.org/officeDocument/2006/relationships/worksheet" Target="/xl/worksheets/sheet1.xml" Id="R8a9c0b8a69044515" /><Relationship Type="http://schemas.openxmlformats.org/officeDocument/2006/relationships/worksheet" Target="/xl/worksheets/sheet2.xml" Id="R2261fb161d404abe" /><Relationship Type="http://schemas.openxmlformats.org/officeDocument/2006/relationships/worksheet" Target="/xl/worksheets/sheet3.xml" Id="Rece190dc1214479a" /><Relationship Type="http://schemas.openxmlformats.org/officeDocument/2006/relationships/worksheet" Target="/xl/worksheets/sheet4.xml" Id="R540d8a1b9f7c4a13" /><Relationship Type="http://schemas.openxmlformats.org/officeDocument/2006/relationships/worksheet" Target="/xl/worksheets/sheet5.xml" Id="R7bb13d47f21345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e7fc6679e34a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Campaign KPI Results by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Open Rate</c:v>
          </c:tx>
          <c:cat>
            <c:strRef>
              <c:f>'Executive Summary'!$A$10:$A$12</c:f>
              <c:strCache>
                <c:ptCount val="0"/>
              </c:strCache>
            </c:strRef>
          </c:cat>
          <c:val>
            <c:numRef>
              <c:f>'Executive Summary'!$B$10:$B$12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Actual CTR</c:v>
          </c:tx>
          <c:cat>
            <c:strRef>
              <c:f>'Executive Summary'!$A$10:$A$12</c:f>
              <c:strCache>
                <c:ptCount val="0"/>
              </c:strCache>
            </c:strRef>
          </c:cat>
          <c:val>
            <c:numRef>
              <c:f>'Executive Summary'!$C$10:$C$12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Actual Conversion</c:v>
          </c:tx>
          <c:cat>
            <c:strRef>
              <c:f>'Executive Summary'!$A$10:$A$12</c:f>
              <c:strCache>
                <c:ptCount val="0"/>
              </c:strCache>
            </c:strRef>
          </c:cat>
          <c:val>
            <c:numRef>
              <c:f>'Executive Summary'!$D$10:$D$12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e7fc6679e34a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aignTracker" displayName="CampaignTracker" ref="A1:L20" headerRowCount="1">
  <x:tableColumns count="12">
    <x:tableColumn id="1" name="Phase"/>
    <x:tableColumn id="2" name="Task"/>
    <x:tableColumn id="3" name="Owner/Function"/>
    <x:tableColumn id="4" name="Priority"/>
    <x:tableColumn id="5" name="Start Date"/>
    <x:tableColumn id="6" name="Due Date"/>
    <x:tableColumn id="7" name="Status"/>
    <x:tableColumn id="8" name="Approval Stage"/>
    <x:tableColumn id="9" name="Dependency"/>
    <x:tableColumn id="10" name="Risk/Notes"/>
    <x:tableColumn id="11" name="Days to Due"/>
    <x:tableColumn id="12" name="Overdue?"/>
  </x:tableColumns>
  <x:tableStyleInfo name="TableStyleMedium2" showRowStripes="1"/>
</x:table>
</file>

<file path=xl/tables/table2.xml><?xml version="1.0" encoding="utf-8"?>
<x:table xmlns:x="http://schemas.openxmlformats.org/spreadsheetml/2006/main" id="2" name="SegmentsTable" displayName="SegmentsTable" ref="A1:N4" headerRowCount="1">
  <x:tableColumns count="14">
    <x:tableColumn id="1" name="Segment"/>
    <x:tableColumn id="2" name="Audience Size"/>
    <x:tableColumn id="3" name="Primary Insight"/>
    <x:tableColumn id="4" name="Channel"/>
    <x:tableColumn id="5" name="Target Open Rate"/>
    <x:tableColumn id="6" name="Actual Open Rate"/>
    <x:tableColumn id="7" name="Target CTR"/>
    <x:tableColumn id="8" name="Actual CTR"/>
    <x:tableColumn id="9" name="Target Conversion"/>
    <x:tableColumn id="10" name="Actual Conversion"/>
    <x:tableColumn id="11" name="Revenue/Cardholder"/>
    <x:tableColumn id="12" name="Redemption Lift"/>
    <x:tableColumn id="13" name="Compliance Pass Rate"/>
    <x:tableColumn id="14" name="Message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ComplianceChecklist" displayName="ComplianceChecklist" ref="A1:G7" headerRowCount="1">
  <x:tableColumns count="7">
    <x:tableColumn id="1" name="Control Gate"/>
    <x:tableColumn id="2" name="Evidence Required"/>
    <x:tableColumn id="3" name="Owner"/>
    <x:tableColumn id="4" name="Due Date"/>
    <x:tableColumn id="5" name="Status"/>
    <x:tableColumn id="6" name="Pass?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06894e94b54e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b89a09267745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8a353f54284b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267c3c46a64e2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</x:cols>
  <x:sheetData>
    <x:row r="1">
      <x:c r="A1" s="38" t="str">
        <x:v>The Campaign Behind Race Day</x:v>
      </x:c>
      <x:c r="B1" s="14" t="str"/>
      <x:c r="C1" s="14" t="str"/>
      <x:c r="D1" s="14" t="str"/>
      <x:c r="E1" s="14" t="str"/>
      <x:c r="F1" s="14" t="str"/>
    </x:row>
    <x:row r="2">
      <x:c r="A2" s="39" t="str">
        <x:v>Portfolio project for a fictional premium Canadian loyalty program sponsoring the Canadian Grand Prix.</x:v>
      </x:c>
      <x:c r="B2" s="14" t="str"/>
      <x:c r="C2" s="14" t="str"/>
      <x:c r="D2" s="14" t="str"/>
      <x:c r="E2" s="14" t="str"/>
      <x:c r="F2" s="14" t="str"/>
    </x:row>
    <x:row r="3">
      <x:c r="A3" s="40" t="str">
        <x:v>Campaign Health</x:v>
      </x:c>
      <x:c r="B3" s="40" t="str"/>
      <x:c r="C3" s="40" t="str"/>
      <x:c r="D3" s="40" t="str"/>
      <x:c r="E3" s="40" t="str"/>
      <x:c r="F3" s="40" t="str"/>
    </x:row>
    <x:row r="4">
      <x:c r="A4" s="14" t="str">
        <x:v>Total Tasks</x:v>
      </x:c>
      <x:c r="B4" s="14" t="n">
        <x:f>COUNTA('Stakeholder Tracker'!B2:B20)</x:f>
        <x:v>19</x:v>
      </x:c>
      <x:c r="C4" s="14" t="str"/>
      <x:c r="D4" s="14" t="str">
        <x:v>Completed/Approved</x:v>
      </x:c>
      <x:c r="E4" s="14" t="n">
        <x:f>COUNTIF('Stakeholder Tracker'!G2:G20,"Complete")+COUNTIF('Stakeholder Tracker'!G2:G20,"Approved")</x:f>
        <x:v>19</x:v>
      </x:c>
      <x:c r="F4" s="14" t="str"/>
    </x:row>
    <x:row r="5">
      <x:c r="A5" s="14" t="str">
        <x:v>Open Risks</x:v>
      </x:c>
      <x:c r="B5" s="18" t="n">
        <x:f>COUNTIF('Stakeholder Tracker'!G2:G20,"Blocked")+COUNTIF('Stakeholder Tracker'!G2:G20,"At Risk")</x:f>
        <x:v>0</x:v>
      </x:c>
      <x:c r="C5" s="14" t="str"/>
      <x:c r="D5" s="14" t="str">
        <x:v>Compliance Pass Rate</x:v>
      </x:c>
      <x:c r="E5" s="18" t="n">
        <x:f>AVERAGE('Segment Analysis'!M2:M4)</x:f>
        <x:v>0.9933333333333333</x:v>
      </x:c>
      <x:c r="F5" s="14" t="str"/>
    </x:row>
    <x:row r="6">
      <x:c r="A6" s="14" t="str">
        <x:v>Avg Conversion Lift vs Target</x:v>
      </x:c>
      <x:c r="B6" s="18" t="n">
        <x:f>AVERAGE('Segment Analysis'!J2:J4)-AVERAGE('Segment Analysis'!I2:I4)</x:f>
        <x:v>0.004</x:v>
      </x:c>
      <x:c r="C6" s="14" t="str"/>
      <x:c r="D6" s="14" t="str">
        <x:v>Revenue/Cardholder</x:v>
      </x:c>
      <x:c r="E6" s="20" t="n">
        <x:f>AVERAGE('Segment Analysis'!K2:K4)</x:f>
        <x:v>26.46666666666667</x:v>
      </x:c>
      <x:c r="F6" s="14" t="str"/>
    </x:row>
    <x:row r="7">
      <x:c r="A7" s="14" t="str"/>
      <x:c r="B7" s="14" t="str"/>
      <x:c r="C7" s="14" t="str"/>
      <x:c r="D7" s="14" t="str"/>
      <x:c r="E7" s="14" t="str"/>
      <x:c r="F7" s="14" t="str"/>
    </x:row>
    <x:row r="8">
      <x:c r="A8" s="40" t="str">
        <x:v>KPI Summary by Segment</x:v>
      </x:c>
      <x:c r="B8" s="40" t="str"/>
      <x:c r="C8" s="40" t="str"/>
      <x:c r="D8" s="40" t="str"/>
      <x:c r="E8" s="40" t="str"/>
      <x:c r="F8" s="40" t="str"/>
    </x:row>
    <x:row r="9">
      <x:c r="A9" s="41" t="str">
        <x:v>Segment</x:v>
      </x:c>
      <x:c r="B9" s="41" t="str">
        <x:v>Actual Open Rate</x:v>
      </x:c>
      <x:c r="C9" s="41" t="str">
        <x:v>Actual CTR</x:v>
      </x:c>
      <x:c r="D9" s="41" t="str">
        <x:v>Actual Conversion</x:v>
      </x:c>
      <x:c r="E9" s="41" t="str">
        <x:v>Revenue/Cardholder</x:v>
      </x:c>
      <x:c r="F9" s="41" t="str">
        <x:v>Compliance Pass</x:v>
      </x:c>
    </x:row>
    <x:row r="10">
      <x:c r="A10" s="14" t="str">
        <x:v>High-Spend Travel Cardmembers</x:v>
      </x:c>
      <x:c r="B10" s="18" t="n">
        <x:f>'Segment Analysis'!F2</x:f>
        <x:v>0.47</x:v>
      </x:c>
      <x:c r="C10" s="18" t="n">
        <x:f>'Segment Analysis'!H2</x:f>
        <x:v>0.132</x:v>
      </x:c>
      <x:c r="D10" s="18" t="n">
        <x:f>'Segment Analysis'!J2</x:f>
        <x:v>0.046</x:v>
      </x:c>
      <x:c r="E10" s="20" t="n">
        <x:f>'Segment Analysis'!K2</x:f>
        <x:v>38.5</x:v>
      </x:c>
      <x:c r="F10" s="18" t="n">
        <x:f>'Segment Analysis'!M2</x:f>
        <x:v>1</x:v>
      </x:c>
    </x:row>
    <x:row r="11">
      <x:c r="A11" s="14" t="str">
        <x:v>Active Membership Rewards Redeemers</x:v>
      </x:c>
      <x:c r="B11" s="18" t="n">
        <x:f>'Segment Analysis'!F3</x:f>
        <x:v>0.41</x:v>
      </x:c>
      <x:c r="C11" s="18" t="n">
        <x:f>'Segment Analysis'!H3</x:f>
        <x:v>0.101</x:v>
      </x:c>
      <x:c r="D11" s="18" t="n">
        <x:f>'Segment Analysis'!J3</x:f>
        <x:v>0.035</x:v>
      </x:c>
      <x:c r="E11" s="20" t="n">
        <x:f>'Segment Analysis'!K3</x:f>
        <x:v>26.2</x:v>
      </x:c>
      <x:c r="F11" s="18" t="n">
        <x:f>'Segment Analysis'!M3</x:f>
        <x:v>1</x:v>
      </x:c>
    </x:row>
    <x:row r="12">
      <x:c r="A12" s="14" t="str">
        <x:v>90-Day Lapsed Cardmembers</x:v>
      </x:c>
      <x:c r="B12" s="18" t="n">
        <x:f>'Segment Analysis'!F4</x:f>
        <x:v>0.3</x:v>
      </x:c>
      <x:c r="C12" s="18" t="n">
        <x:f>'Segment Analysis'!H4</x:f>
        <x:v>0.061</x:v>
      </x:c>
      <x:c r="D12" s="18" t="n">
        <x:f>'Segment Analysis'!J4</x:f>
        <x:v>0.021</x:v>
      </x:c>
      <x:c r="E12" s="20" t="n">
        <x:f>'Segment Analysis'!K4</x:f>
        <x:v>14.7</x:v>
      </x:c>
      <x:c r="F12" s="18" t="n">
        <x:f>'Segment Analysis'!M4</x:f>
        <x:v>0.98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1906894e94b54e38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36" hidden="0" customWidth="1"/>
    <x:col min="11" max="11" width="12" hidden="0" customWidth="1"/>
    <x:col min="12" max="12" width="12" hidden="0" customWidth="1"/>
  </x:cols>
  <x:sheetData>
    <x:row r="1">
      <x:c r="A1" s="9" t="str">
        <x:v>Phase</x:v>
      </x:c>
      <x:c r="B1" s="9" t="str">
        <x:v>Task</x:v>
      </x:c>
      <x:c r="C1" s="9" t="str">
        <x:v>Owner/Function</x:v>
      </x:c>
      <x:c r="D1" s="9" t="str">
        <x:v>Priority</x:v>
      </x:c>
      <x:c r="E1" s="9" t="str">
        <x:v>Start Date</x:v>
      </x:c>
      <x:c r="F1" s="9" t="str">
        <x:v>Due Date</x:v>
      </x:c>
      <x:c r="G1" s="9" t="str">
        <x:v>Status</x:v>
      </x:c>
      <x:c r="H1" s="9" t="str">
        <x:v>Approval Stage</x:v>
      </x:c>
      <x:c r="I1" s="9" t="str">
        <x:v>Dependency</x:v>
      </x:c>
      <x:c r="J1" s="9" t="str">
        <x:v>Risk/Notes</x:v>
      </x:c>
      <x:c r="K1" s="9" t="str">
        <x:v>Days to Due</x:v>
      </x:c>
      <x:c r="L1" s="9" t="str">
        <x:v>Overdue?</x:v>
      </x:c>
    </x:row>
    <x:row r="2">
      <x:c r="A2" s="14" t="str">
        <x:v>Strategy</x:v>
      </x:c>
      <x:c r="B2" s="14" t="str">
        <x:v>Finalize cardholder insight and campaign objective</x:v>
      </x:c>
      <x:c r="C2" s="14" t="str">
        <x:v>Customer Marketing Analyst</x:v>
      </x:c>
      <x:c r="D2" s="14" t="str">
        <x:v>High</x:v>
      </x:c>
      <x:c r="E2" s="16" t="n">
        <x:v>46055</x:v>
      </x:c>
      <x:c r="F2" s="16" t="n">
        <x:v>46059</x:v>
      </x:c>
      <x:c r="G2" s="14" t="str">
        <x:v>Complete</x:v>
      </x:c>
      <x:c r="H2" s="14" t="str">
        <x:v>Marketing Lead Approved</x:v>
      </x:c>
      <x:c r="I2" s="14" t="str">
        <x:v>Annual plan priorities</x:v>
      </x:c>
      <x:c r="J2" s="14" t="str">
        <x:v>Defines event activation strategy</x:v>
      </x:c>
      <x:c r="K2" s="14" t="n">
        <x:f>F2-TODAY()</x:f>
        <x:v>-110</x:v>
      </x:c>
      <x:c r="L2" s="14" t="str">
        <x:f>IF(AND(F2&lt;TODAY(),G2&lt;&gt;"Complete",G2&lt;&gt;"Approved"),"Yes","No")</x:f>
        <x:v>No</x:v>
      </x:c>
    </x:row>
    <x:row r="3">
      <x:c r="A3" s="14" t="str">
        <x:v>Strategy</x:v>
      </x:c>
      <x:c r="B3" s="14" t="str">
        <x:v>Build one-page annual campaign brief</x:v>
      </x:c>
      <x:c r="C3" s="14" t="str">
        <x:v>Customer Marketing Analyst</x:v>
      </x:c>
      <x:c r="D3" s="14" t="str">
        <x:v>High</x:v>
      </x:c>
      <x:c r="E3" s="16" t="n">
        <x:v>46056</x:v>
      </x:c>
      <x:c r="F3" s="16" t="n">
        <x:v>46063</x:v>
      </x:c>
      <x:c r="G3" s="14" t="str">
        <x:v>Complete</x:v>
      </x:c>
      <x:c r="H3" s="14" t="str">
        <x:v>Director Approved</x:v>
      </x:c>
      <x:c r="I3" s="14" t="str">
        <x:v>Cardholder insight</x:v>
      </x:c>
      <x:c r="J3" s="14" t="str">
        <x:v>Includes segment, offer, channels, KPIs</x:v>
      </x:c>
      <x:c r="K3" s="14" t="n">
        <x:f>F3-TODAY()</x:f>
        <x:v>-106</x:v>
      </x:c>
      <x:c r="L3" s="14" t="str">
        <x:f>IF(AND(F3&lt;TODAY(),G3&lt;&gt;"Complete",G3&lt;&gt;"Approved"),"Yes","No")</x:f>
        <x:v>No</x:v>
      </x:c>
    </x:row>
    <x:row r="4">
      <x:c r="A4" s="14" t="str">
        <x:v>Strategy</x:v>
      </x:c>
      <x:c r="B4" s="14" t="str">
        <x:v>Confirm offer mechanic and eligibility rules</x:v>
      </x:c>
      <x:c r="C4" s="14" t="str">
        <x:v>Product + Rewards</x:v>
      </x:c>
      <x:c r="D4" s="14" t="str">
        <x:v>High</x:v>
      </x:c>
      <x:c r="E4" s="16" t="n">
        <x:v>46060</x:v>
      </x:c>
      <x:c r="F4" s="16" t="n">
        <x:v>46067</x:v>
      </x:c>
      <x:c r="G4" s="14" t="str">
        <x:v>Complete</x:v>
      </x:c>
      <x:c r="H4" s="14" t="str">
        <x:v>Product Approved</x:v>
      </x:c>
      <x:c r="I4" s="14" t="str">
        <x:v>Campaign brief</x:v>
      </x:c>
      <x:c r="J4" s="14" t="str">
        <x:v>Avoids customer confusion at redemption</x:v>
      </x:c>
      <x:c r="K4" s="14" t="n">
        <x:f>F4-TODAY()</x:f>
        <x:v>-102</x:v>
      </x:c>
      <x:c r="L4" s="14" t="str">
        <x:f>IF(AND(F4&lt;TODAY(),G4&lt;&gt;"Complete",G4&lt;&gt;"Approved"),"Yes","No")</x:f>
        <x:v>No</x:v>
      </x:c>
    </x:row>
    <x:row r="5">
      <x:c r="A5" s="14" t="str">
        <x:v>Creative</x:v>
      </x:c>
      <x:c r="B5" s="14" t="str">
        <x:v>Draft email and in-app messaging</x:v>
      </x:c>
      <x:c r="C5" s="14" t="str">
        <x:v>Creative Agency</x:v>
      </x:c>
      <x:c r="D5" s="14" t="str">
        <x:v>High</x:v>
      </x:c>
      <x:c r="E5" s="16" t="n">
        <x:v>46066</x:v>
      </x:c>
      <x:c r="F5" s="16" t="n">
        <x:v>46074</x:v>
      </x:c>
      <x:c r="G5" s="14" t="str">
        <x:v>Complete</x:v>
      </x:c>
      <x:c r="H5" s="14" t="str">
        <x:v>Marketing Review</x:v>
      </x:c>
      <x:c r="I5" s="14" t="str">
        <x:v>Approved offer rules</x:v>
      </x:c>
      <x:c r="J5" s="14" t="str">
        <x:v>Messaging must match customer promise</x:v>
      </x:c>
      <x:c r="K5" s="14" t="n">
        <x:f>F5-TODAY()</x:f>
        <x:v>-95</x:v>
      </x:c>
      <x:c r="L5" s="14" t="str">
        <x:f>IF(AND(F5&lt;TODAY(),G5&lt;&gt;"Complete",G5&lt;&gt;"Approved"),"Yes","No")</x:f>
        <x:v>No</x:v>
      </x:c>
    </x:row>
    <x:row r="6">
      <x:c r="A6" s="14" t="str">
        <x:v>Creative</x:v>
      </x:c>
      <x:c r="B6" s="14" t="str">
        <x:v>QA brand tone and premium event positioning</x:v>
      </x:c>
      <x:c r="C6" s="14" t="str">
        <x:v>Brand Team</x:v>
      </x:c>
      <x:c r="D6" s="14" t="str">
        <x:v>Medium</x:v>
      </x:c>
      <x:c r="E6" s="16" t="n">
        <x:v>46073</x:v>
      </x:c>
      <x:c r="F6" s="16" t="n">
        <x:v>46079</x:v>
      </x:c>
      <x:c r="G6" s="14" t="str">
        <x:v>Complete</x:v>
      </x:c>
      <x:c r="H6" s="14" t="str">
        <x:v>Brand Approved</x:v>
      </x:c>
      <x:c r="I6" s="14" t="str">
        <x:v>Creative copy</x:v>
      </x:c>
      <x:c r="J6" s="14" t="str">
        <x:v>Premium but clear, no overclaiming</x:v>
      </x:c>
      <x:c r="K6" s="14" t="n">
        <x:f>F6-TODAY()</x:f>
        <x:v>-90</x:v>
      </x:c>
      <x:c r="L6" s="14" t="str">
        <x:f>IF(AND(F6&lt;TODAY(),G6&lt;&gt;"Complete",G6&lt;&gt;"Approved"),"Yes","No")</x:f>
        <x:v>No</x:v>
      </x:c>
    </x:row>
    <x:row r="7">
      <x:c r="A7" s="14" t="str">
        <x:v>Legal/Compliance</x:v>
      </x:c>
      <x:c r="B7" s="14" t="str">
        <x:v>Legal review of offer terms and conditions</x:v>
      </x:c>
      <x:c r="C7" s="14" t="str">
        <x:v>Legal</x:v>
      </x:c>
      <x:c r="D7" s="14" t="str">
        <x:v>High</x:v>
      </x:c>
      <x:c r="E7" s="16" t="n">
        <x:v>46077</x:v>
      </x:c>
      <x:c r="F7" s="16" t="n">
        <x:v>46086</x:v>
      </x:c>
      <x:c r="G7" s="14" t="str">
        <x:v>Complete</x:v>
      </x:c>
      <x:c r="H7" s="14" t="str">
        <x:v>Legal Approved</x:v>
      </x:c>
      <x:c r="I7" s="14" t="str">
        <x:v>Creative draft</x:v>
      </x:c>
      <x:c r="J7" s="14" t="str">
        <x:v>Terms need eligibility, dates, exclusions</x:v>
      </x:c>
      <x:c r="K7" s="14" t="n">
        <x:f>F7-TODAY()</x:f>
        <x:v>-83</x:v>
      </x:c>
      <x:c r="L7" s="14" t="str">
        <x:f>IF(AND(F7&lt;TODAY(),G7&lt;&gt;"Complete",G7&lt;&gt;"Approved"),"Yes","No")</x:f>
        <x:v>No</x:v>
      </x:c>
    </x:row>
    <x:row r="8">
      <x:c r="A8" s="14" t="str">
        <x:v>Legal/Compliance</x:v>
      </x:c>
      <x:c r="B8" s="14" t="str">
        <x:v>Compliance checkpoint for regulatory requirements</x:v>
      </x:c>
      <x:c r="C8" s="14" t="str">
        <x:v>Compliance</x:v>
      </x:c>
      <x:c r="D8" s="14" t="str">
        <x:v>High</x:v>
      </x:c>
      <x:c r="E8" s="16" t="n">
        <x:v>46084</x:v>
      </x:c>
      <x:c r="F8" s="16" t="n">
        <x:v>46091</x:v>
      </x:c>
      <x:c r="G8" s="14" t="str">
        <x:v>Complete</x:v>
      </x:c>
      <x:c r="H8" s="14" t="str">
        <x:v>Compliance Approved</x:v>
      </x:c>
      <x:c r="I8" s="14" t="str">
        <x:v>Legal comments</x:v>
      </x:c>
      <x:c r="J8" s="14" t="str">
        <x:v>Financial-services control gate</x:v>
      </x:c>
      <x:c r="K8" s="14" t="n">
        <x:f>F8-TODAY()</x:f>
        <x:v>-78</x:v>
      </x:c>
      <x:c r="L8" s="14" t="str">
        <x:f>IF(AND(F8&lt;TODAY(),G8&lt;&gt;"Complete",G8&lt;&gt;"Approved"),"Yes","No")</x:f>
        <x:v>No</x:v>
      </x:c>
    </x:row>
    <x:row r="9">
      <x:c r="A9" s="14" t="str">
        <x:v>Translation</x:v>
      </x:c>
      <x:c r="B9" s="14" t="str">
        <x:v>Send final English copy for French translation</x:v>
      </x:c>
      <x:c r="C9" s="14" t="str">
        <x:v>Translation Coordinator</x:v>
      </x:c>
      <x:c r="D9" s="14" t="str">
        <x:v>High</x:v>
      </x:c>
      <x:c r="E9" s="16" t="n">
        <x:v>46091</x:v>
      </x:c>
      <x:c r="F9" s="16" t="n">
        <x:v>46094</x:v>
      </x:c>
      <x:c r="G9" s="14" t="str">
        <x:v>Complete</x:v>
      </x:c>
      <x:c r="H9" s="14" t="str">
        <x:v>Translation Requested</x:v>
      </x:c>
      <x:c r="I9" s="14" t="str">
        <x:v>Legal/compliance approval</x:v>
      </x:c>
      <x:c r="J9" s="14" t="str">
        <x:v>Must use final approved copy only</x:v>
      </x:c>
      <x:c r="K9" s="14" t="n">
        <x:f>F9-TODAY()</x:f>
        <x:v>-75</x:v>
      </x:c>
      <x:c r="L9" s="14" t="str">
        <x:f>IF(AND(F9&lt;TODAY(),G9&lt;&gt;"Complete",G9&lt;&gt;"Approved"),"Yes","No")</x:f>
        <x:v>No</x:v>
      </x:c>
    </x:row>
    <x:row r="10">
      <x:c r="A10" s="14" t="str">
        <x:v>Translation</x:v>
      </x:c>
      <x:c r="B10" s="14" t="str">
        <x:v>French translation review and bilingual QA</x:v>
      </x:c>
      <x:c r="C10" s="14" t="str">
        <x:v>Translation + Compliance</x:v>
      </x:c>
      <x:c r="D10" s="14" t="str">
        <x:v>High</x:v>
      </x:c>
      <x:c r="E10" s="16" t="n">
        <x:v>46094</x:v>
      </x:c>
      <x:c r="F10" s="16" t="n">
        <x:v>46101</x:v>
      </x:c>
      <x:c r="G10" s="14" t="str">
        <x:v>Complete</x:v>
      </x:c>
      <x:c r="H10" s="14" t="str">
        <x:v>Bilingual QA Approved</x:v>
      </x:c>
      <x:c r="I10" s="14" t="str">
        <x:v>Final English copy</x:v>
      </x:c>
      <x:c r="J10" s="14" t="str">
        <x:v>Ensures same meaning in both languages</x:v>
      </x:c>
      <x:c r="K10" s="14" t="n">
        <x:f>F10-TODAY()</x:f>
        <x:v>-68</x:v>
      </x:c>
      <x:c r="L10" s="14" t="str">
        <x:f>IF(AND(F10&lt;TODAY(),G10&lt;&gt;"Complete",G10&lt;&gt;"Approved"),"Yes","No")</x:f>
        <x:v>No</x:v>
      </x:c>
    </x:row>
    <x:row r="11">
      <x:c r="A11" s="14" t="str">
        <x:v>Digital Build</x:v>
      </x:c>
      <x:c r="B11" s="14" t="str">
        <x:v>Build email, in-app card, and landing page modules</x:v>
      </x:c>
      <x:c r="C11" s="14" t="str">
        <x:v>Digital Team</x:v>
      </x:c>
      <x:c r="D11" s="14" t="str">
        <x:v>High</x:v>
      </x:c>
      <x:c r="E11" s="16" t="n">
        <x:v>46099</x:v>
      </x:c>
      <x:c r="F11" s="16" t="n">
        <x:v>46115</x:v>
      </x:c>
      <x:c r="G11" s="14" t="str">
        <x:v>Complete</x:v>
      </x:c>
      <x:c r="H11" s="14" t="str">
        <x:v>Digital QA</x:v>
      </x:c>
      <x:c r="I11" s="14" t="str">
        <x:v>Approved bilingual copy</x:v>
      </x:c>
      <x:c r="J11" s="14" t="str">
        <x:v>No creative changes after build lock</x:v>
      </x:c>
      <x:c r="K11" s="14" t="n">
        <x:f>F11-TODAY()</x:f>
        <x:v>-54</x:v>
      </x:c>
      <x:c r="L11" s="14" t="str">
        <x:f>IF(AND(F11&lt;TODAY(),G11&lt;&gt;"Complete",G11&lt;&gt;"Approved"),"Yes","No")</x:f>
        <x:v>No</x:v>
      </x:c>
    </x:row>
    <x:row r="12">
      <x:c r="A12" s="14" t="str">
        <x:v>Digital Build</x:v>
      </x:c>
      <x:c r="B12" s="14" t="str">
        <x:v>UTM tagging and analytics QA</x:v>
      </x:c>
      <x:c r="C12" s="14" t="str">
        <x:v>Analytics</x:v>
      </x:c>
      <x:c r="D12" s="14" t="str">
        <x:v>Medium</x:v>
      </x:c>
      <x:c r="E12" s="16" t="n">
        <x:v>46109</x:v>
      </x:c>
      <x:c r="F12" s="16" t="n">
        <x:v>46118</x:v>
      </x:c>
      <x:c r="G12" s="14" t="str">
        <x:v>Complete</x:v>
      </x:c>
      <x:c r="H12" s="14" t="str">
        <x:v>Analytics QA</x:v>
      </x:c>
      <x:c r="I12" s="14" t="str">
        <x:v>Digital build</x:v>
      </x:c>
      <x:c r="J12" s="14" t="str">
        <x:v>Must track by segment and channel</x:v>
      </x:c>
      <x:c r="K12" s="14" t="n">
        <x:f>F12-TODAY()</x:f>
        <x:v>-51</x:v>
      </x:c>
      <x:c r="L12" s="14" t="str">
        <x:f>IF(AND(F12&lt;TODAY(),G12&lt;&gt;"Complete",G12&lt;&gt;"Approved"),"Yes","No")</x:f>
        <x:v>No</x:v>
      </x:c>
    </x:row>
    <x:row r="13">
      <x:c r="A13" s="14" t="str">
        <x:v>Launch Control</x:v>
      </x:c>
      <x:c r="B13" s="14" t="str">
        <x:v>Final pre-launch checklist and go/no-go</x:v>
      </x:c>
      <x:c r="C13" s="14" t="str">
        <x:v>Marketing Ops</x:v>
      </x:c>
      <x:c r="D13" s="14" t="str">
        <x:v>High</x:v>
      </x:c>
      <x:c r="E13" s="16" t="n">
        <x:v>46119</x:v>
      </x:c>
      <x:c r="F13" s="16" t="n">
        <x:v>46122</x:v>
      </x:c>
      <x:c r="G13" s="14" t="str">
        <x:v>Complete</x:v>
      </x:c>
      <x:c r="H13" s="14" t="str">
        <x:v>Go Approved</x:v>
      </x:c>
      <x:c r="I13" s="14" t="str">
        <x:v>Digital QA + analytics QA</x:v>
      </x:c>
      <x:c r="J13" s="14" t="str">
        <x:v>Final control before launch</x:v>
      </x:c>
      <x:c r="K13" s="14" t="n">
        <x:f>F13-TODAY()</x:f>
        <x:v>-47</x:v>
      </x:c>
      <x:c r="L13" s="14" t="str">
        <x:f>IF(AND(F13&lt;TODAY(),G13&lt;&gt;"Complete",G13&lt;&gt;"Approved"),"Yes","No")</x:f>
        <x:v>No</x:v>
      </x:c>
    </x:row>
    <x:row r="14">
      <x:c r="A14" s="14" t="str">
        <x:v>Launch</x:v>
      </x:c>
      <x:c r="B14" s="14" t="str">
        <x:v>Launch campaign wave 1 email</x:v>
      </x:c>
      <x:c r="C14" s="14" t="str">
        <x:v>Marketing Ops</x:v>
      </x:c>
      <x:c r="D14" s="14" t="str">
        <x:v>High</x:v>
      </x:c>
      <x:c r="E14" s="16" t="n">
        <x:v>46125</x:v>
      </x:c>
      <x:c r="F14" s="16" t="n">
        <x:v>46125</x:v>
      </x:c>
      <x:c r="G14" s="14" t="str">
        <x:v>Complete</x:v>
      </x:c>
      <x:c r="H14" s="14" t="str">
        <x:v>Launched</x:v>
      </x:c>
      <x:c r="I14" s="14" t="str">
        <x:v>Go/no-go approval</x:v>
      </x:c>
      <x:c r="J14" s="14" t="str">
        <x:v>High spend travel segment first</x:v>
      </x:c>
      <x:c r="K14" s="14" t="n">
        <x:f>F14-TODAY()</x:f>
        <x:v>-44</x:v>
      </x:c>
      <x:c r="L14" s="14" t="str">
        <x:f>IF(AND(F14&lt;TODAY(),G14&lt;&gt;"Complete",G14&lt;&gt;"Approved"),"Yes","No")</x:f>
        <x:v>No</x:v>
      </x:c>
    </x:row>
    <x:row r="15">
      <x:c r="A15" s="14" t="str">
        <x:v>Launch</x:v>
      </x:c>
      <x:c r="B15" s="14" t="str">
        <x:v>Launch in-app campaign placement</x:v>
      </x:c>
      <x:c r="C15" s="14" t="str">
        <x:v>Digital Team</x:v>
      </x:c>
      <x:c r="D15" s="14" t="str">
        <x:v>High</x:v>
      </x:c>
      <x:c r="E15" s="16" t="n">
        <x:v>46126</x:v>
      </x:c>
      <x:c r="F15" s="16" t="n">
        <x:v>46126</x:v>
      </x:c>
      <x:c r="G15" s="14" t="str">
        <x:v>Complete</x:v>
      </x:c>
      <x:c r="H15" s="14" t="str">
        <x:v>Launched</x:v>
      </x:c>
      <x:c r="I15" s="14" t="str">
        <x:v>Digital QA</x:v>
      </x:c>
      <x:c r="J15" s="14" t="str">
        <x:v>Personalized by segment</x:v>
      </x:c>
      <x:c r="K15" s="14" t="n">
        <x:f>F15-TODAY()</x:f>
        <x:v>-43</x:v>
      </x:c>
      <x:c r="L15" s="14" t="str">
        <x:f>IF(AND(F15&lt;TODAY(),G15&lt;&gt;"Complete",G15&lt;&gt;"Approved"),"Yes","No")</x:f>
        <x:v>No</x:v>
      </x:c>
    </x:row>
    <x:row r="16">
      <x:c r="A16" s="14" t="str">
        <x:v>Optimization</x:v>
      </x:c>
      <x:c r="B16" s="14" t="str">
        <x:v>Monitor first-week performance and customer feedback</x:v>
      </x:c>
      <x:c r="C16" s="14" t="str">
        <x:v>Customer Marketing Analyst</x:v>
      </x:c>
      <x:c r="D16" s="14" t="str">
        <x:v>Medium</x:v>
      </x:c>
      <x:c r="E16" s="16" t="n">
        <x:v>46127</x:v>
      </x:c>
      <x:c r="F16" s="16" t="n">
        <x:v>46134</x:v>
      </x:c>
      <x:c r="G16" s="14" t="str">
        <x:v>Complete</x:v>
      </x:c>
      <x:c r="H16" s="14" t="str">
        <x:v>Reviewed</x:v>
      </x:c>
      <x:c r="I16" s="14" t="str">
        <x:v>Campaign launch</x:v>
      </x:c>
      <x:c r="J16" s="14" t="str">
        <x:v>Watch unsubscribe, complaints, conversion</x:v>
      </x:c>
      <x:c r="K16" s="14" t="n">
        <x:f>F16-TODAY()</x:f>
        <x:v>-35</x:v>
      </x:c>
      <x:c r="L16" s="14" t="str">
        <x:f>IF(AND(F16&lt;TODAY(),G16&lt;&gt;"Complete",G16&lt;&gt;"Approved"),"Yes","No")</x:f>
        <x:v>No</x:v>
      </x:c>
    </x:row>
    <x:row r="17">
      <x:c r="A17" s="14" t="str">
        <x:v>Optimization</x:v>
      </x:c>
      <x:c r="B17" s="14" t="str">
        <x:v>Adjust resend audience based on early engagement</x:v>
      </x:c>
      <x:c r="C17" s="14" t="str">
        <x:v>Customer Marketing Analyst</x:v>
      </x:c>
      <x:c r="D17" s="14" t="str">
        <x:v>Medium</x:v>
      </x:c>
      <x:c r="E17" s="16" t="n">
        <x:v>46134</x:v>
      </x:c>
      <x:c r="F17" s="16" t="n">
        <x:v>46140</x:v>
      </x:c>
      <x:c r="G17" s="14" t="str">
        <x:v>Complete</x:v>
      </x:c>
      <x:c r="H17" s="14" t="str">
        <x:v>Marketing Lead Approved</x:v>
      </x:c>
      <x:c r="I17" s="14" t="str">
        <x:v>Performance readout</x:v>
      </x:c>
      <x:c r="J17" s="14" t="str">
        <x:v>Fewer, more relevant initiatives</x:v>
      </x:c>
      <x:c r="K17" s="14" t="n">
        <x:f>F17-TODAY()</x:f>
        <x:v>-29</x:v>
      </x:c>
      <x:c r="L17" s="14" t="str">
        <x:f>IF(AND(F17&lt;TODAY(),G17&lt;&gt;"Complete",G17&lt;&gt;"Approved"),"Yes","No")</x:f>
        <x:v>No</x:v>
      </x:c>
    </x:row>
    <x:row r="18">
      <x:c r="A18" s="14" t="str">
        <x:v>Reporting</x:v>
      </x:c>
      <x:c r="B18" s="14" t="str">
        <x:v>Pull final KPI results by segment and channel</x:v>
      </x:c>
      <x:c r="C18" s="14" t="str">
        <x:v>Analytics</x:v>
      </x:c>
      <x:c r="D18" s="14" t="str">
        <x:v>High</x:v>
      </x:c>
      <x:c r="E18" s="16" t="n">
        <x:v>46146</x:v>
      </x:c>
      <x:c r="F18" s="16" t="n">
        <x:v>46153</x:v>
      </x:c>
      <x:c r="G18" s="14" t="str">
        <x:v>Complete</x:v>
      </x:c>
      <x:c r="H18" s="14" t="str">
        <x:v>Data Validated</x:v>
      </x:c>
      <x:c r="I18" s="14" t="str">
        <x:v>Campaign close</x:v>
      </x:c>
      <x:c r="J18" s="14" t="str">
        <x:v>KPI results feed post-campaign report</x:v>
      </x:c>
      <x:c r="K18" s="14" t="n">
        <x:f>F18-TODAY()</x:f>
        <x:v>-16</x:v>
      </x:c>
      <x:c r="L18" s="14" t="str">
        <x:f>IF(AND(F18&lt;TODAY(),G18&lt;&gt;"Complete",G18&lt;&gt;"Approved"),"Yes","No")</x:f>
        <x:v>No</x:v>
      </x:c>
    </x:row>
    <x:row r="19">
      <x:c r="A19" s="14" t="str">
        <x:v>Reporting</x:v>
      </x:c>
      <x:c r="B19" s="14" t="str">
        <x:v>Write post-campaign senior management report</x:v>
      </x:c>
      <x:c r="C19" s="14" t="str">
        <x:v>Customer Marketing Analyst</x:v>
      </x:c>
      <x:c r="D19" s="14" t="str">
        <x:v>High</x:v>
      </x:c>
      <x:c r="E19" s="16" t="n">
        <x:v>46153</x:v>
      </x:c>
      <x:c r="F19" s="16" t="n">
        <x:v>46160</x:v>
      </x:c>
      <x:c r="G19" s="14" t="str">
        <x:v>Complete</x:v>
      </x:c>
      <x:c r="H19" s="14" t="str">
        <x:v>Director Approved</x:v>
      </x:c>
      <x:c r="I19" s="14" t="str">
        <x:v>Validated KPIs</x:v>
      </x:c>
      <x:c r="J19" s="14" t="str">
        <x:v>Includes recommendations for next activation</x:v>
      </x:c>
      <x:c r="K19" s="14" t="n">
        <x:f>F19-TODAY()</x:f>
        <x:v>-9</x:v>
      </x:c>
      <x:c r="L19" s="14" t="str">
        <x:f>IF(AND(F19&lt;TODAY(),G19&lt;&gt;"Complete",G19&lt;&gt;"Approved"),"Yes","No")</x:f>
        <x:v>No</x:v>
      </x:c>
    </x:row>
    <x:row r="20">
      <x:c r="A20" s="14" t="str">
        <x:v>Reporting</x:v>
      </x:c>
      <x:c r="B20" s="14" t="str">
        <x:v>Archive approvals and compliance evidence</x:v>
      </x:c>
      <x:c r="C20" s="14" t="str">
        <x:v>Marketing Ops</x:v>
      </x:c>
      <x:c r="D20" s="14" t="str">
        <x:v>Medium</x:v>
      </x:c>
      <x:c r="E20" s="16" t="n">
        <x:v>46160</x:v>
      </x:c>
      <x:c r="F20" s="16" t="n">
        <x:v>46164</x:v>
      </x:c>
      <x:c r="G20" s="14" t="str">
        <x:v>Complete</x:v>
      </x:c>
      <x:c r="H20" s="14" t="str">
        <x:v>Archived</x:v>
      </x:c>
      <x:c r="I20" s="14" t="str">
        <x:v>Final report</x:v>
      </x:c>
      <x:c r="J20" s="14" t="str">
        <x:v>Audit-ready project folder</x:v>
      </x:c>
      <x:c r="K20" s="14" t="n">
        <x:f>F20-TODAY()</x:f>
        <x:v>-5</x:v>
      </x:c>
      <x:c r="L20" s="14" t="str">
        <x:f>IF(AND(F20&lt;TODAY(),G20&lt;&gt;"Complete",G20&lt;&gt;"Approved"),"Yes","No")</x:f>
        <x:v>No</x:v>
      </x:c>
    </x:row>
  </x:sheetData>
  <x:conditionalFormatting sqref="L2:L20">
    <x:cfRule type="expression" dxfId="0" priority="1">
      <x:formula>L2="Yes"</x:formula>
    </x:cfRule>
  </x:conditionalFormatting>
  <x:conditionalFormatting sqref="G2:G20">
    <x:cfRule type="expression" dxfId="1" priority="2">
      <x:formula>G2="Complete"</x:formula>
    </x:cfRule>
    <x:cfRule type="expression" dxfId="2" priority="3">
      <x:formula>G2="Blocked"</x:formula>
    </x:cfRule>
    <x:cfRule type="expression" dxfId="3" priority="4">
      <x:formula>G2="At Risk"</x:formula>
    </x:cfRule>
  </x:conditionalFormatting>
  <x:dataValidations count="2">
    <x:dataValidation type="list" sqref="D2:D20">
      <x:formula1>Lists!$B$2:$B$4</x:formula1>
    </x:dataValidation>
    <x:dataValidation type="list" sqref="G2:G2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89a09267745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5" hidden="0" customWidth="1"/>
    <x:col min="4" max="4" width="18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6" hidden="0" customWidth="1"/>
    <x:col min="12" max="12" width="14" hidden="0" customWidth="1"/>
    <x:col min="13" max="13" width="16" hidden="0" customWidth="1"/>
    <x:col min="14" max="14" width="50" hidden="0" customWidth="1"/>
  </x:cols>
  <x:sheetData>
    <x:row r="1">
      <x:c r="A1" s="9" t="str">
        <x:v>Segment</x:v>
      </x:c>
      <x:c r="B1" s="9" t="str">
        <x:v>Audience Size</x:v>
      </x:c>
      <x:c r="C1" s="9" t="str">
        <x:v>Primary Insight</x:v>
      </x:c>
      <x:c r="D1" s="9" t="str">
        <x:v>Channel</x:v>
      </x:c>
      <x:c r="E1" s="9" t="str">
        <x:v>Target Open Rate</x:v>
      </x:c>
      <x:c r="F1" s="9" t="str">
        <x:v>Actual Open Rate</x:v>
      </x:c>
      <x:c r="G1" s="9" t="str">
        <x:v>Target CTR</x:v>
      </x:c>
      <x:c r="H1" s="9" t="str">
        <x:v>Actual CTR</x:v>
      </x:c>
      <x:c r="I1" s="9" t="str">
        <x:v>Target Conversion</x:v>
      </x:c>
      <x:c r="J1" s="9" t="str">
        <x:v>Actual Conversion</x:v>
      </x:c>
      <x:c r="K1" s="9" t="str">
        <x:v>Revenue/Cardholder</x:v>
      </x:c>
      <x:c r="L1" s="9" t="str">
        <x:v>Redemption Lift</x:v>
      </x:c>
      <x:c r="M1" s="9" t="str">
        <x:v>Compliance Pass Rate</x:v>
      </x:c>
      <x:c r="N1" s="9" t="str">
        <x:v>Message Rationale</x:v>
      </x:c>
    </x:row>
    <x:row r="2">
      <x:c r="A2" s="14" t="str">
        <x:v>High-Spend Travel Cardmembers</x:v>
      </x:c>
      <x:c r="B2" s="14" t="n">
        <x:v>18500</x:v>
      </x:c>
      <x:c r="C2" s="14" t="str">
        <x:v>Travel-forward cardmembers respond to premium access and limited-time event benefits.</x:v>
      </x:c>
      <x:c r="D2" s="14" t="str">
        <x:v>Email + In-App</x:v>
      </x:c>
      <x:c r="E2" s="18" t="n">
        <x:v>0.43</x:v>
      </x:c>
      <x:c r="F2" s="18" t="n">
        <x:v>0.47</x:v>
      </x:c>
      <x:c r="G2" s="18" t="n">
        <x:v>0.115</x:v>
      </x:c>
      <x:c r="H2" s="18" t="n">
        <x:v>0.132</x:v>
      </x:c>
      <x:c r="I2" s="18" t="n">
        <x:v>0.04</x:v>
      </x:c>
      <x:c r="J2" s="18" t="n">
        <x:v>0.046</x:v>
      </x:c>
      <x:c r="K2" s="20" t="n">
        <x:v>38.5</x:v>
      </x:c>
      <x:c r="L2" s="18" t="n">
        <x:v>0.18</x:v>
      </x:c>
      <x:c r="M2" s="18" t="n">
        <x:v>1</x:v>
      </x:c>
      <x:c r="N2" s="14" t="str">
        <x:v>Lead with exclusive race-day access and premium travel value.</x:v>
      </x:c>
    </x:row>
    <x:row r="3">
      <x:c r="A3" s="14" t="str">
        <x:v>Active Membership Rewards Redeemers</x:v>
      </x:c>
      <x:c r="B3" s="14" t="n">
        <x:v>24200</x:v>
      </x:c>
      <x:c r="C3" s="14" t="str">
        <x:v>Members already engaged with points need a clear reason to redeem in a high-emotion moment.</x:v>
      </x:c>
      <x:c r="D3" s="14" t="str">
        <x:v>Email</x:v>
      </x:c>
      <x:c r="E3" s="18" t="n">
        <x:v>0.39</x:v>
      </x:c>
      <x:c r="F3" s="18" t="n">
        <x:v>0.41</x:v>
      </x:c>
      <x:c r="G3" s="18" t="n">
        <x:v>0.095</x:v>
      </x:c>
      <x:c r="H3" s="18" t="n">
        <x:v>0.101</x:v>
      </x:c>
      <x:c r="I3" s="18" t="n">
        <x:v>0.032</x:v>
      </x:c>
      <x:c r="J3" s="18" t="n">
        <x:v>0.035</x:v>
      </x:c>
      <x:c r="K3" s="20" t="n">
        <x:v>26.2</x:v>
      </x:c>
      <x:c r="L3" s="18" t="n">
        <x:v>0.15</x:v>
      </x:c>
      <x:c r="M3" s="18" t="n">
        <x:v>1</x:v>
      </x:c>
      <x:c r="N3" s="14" t="str">
        <x:v>Connect the event to easy points redemption and a memorable experience.</x:v>
      </x:c>
    </x:row>
    <x:row r="4">
      <x:c r="A4" s="14" t="str">
        <x:v>90-Day Lapsed Cardmembers</x:v>
      </x:c>
      <x:c r="B4" s="14" t="n">
        <x:v>31100</x:v>
      </x:c>
      <x:c r="C4" s="14" t="str">
        <x:v>Lapsed members need a timely reason to re-engage without feeling spammed.</x:v>
      </x:c>
      <x:c r="D4" s="14" t="str">
        <x:v>In-App + Email Resend</x:v>
      </x:c>
      <x:c r="E4" s="18" t="n">
        <x:v>0.28</x:v>
      </x:c>
      <x:c r="F4" s="18" t="n">
        <x:v>0.3</x:v>
      </x:c>
      <x:c r="G4" s="18" t="n">
        <x:v>0.055</x:v>
      </x:c>
      <x:c r="H4" s="18" t="n">
        <x:v>0.061</x:v>
      </x:c>
      <x:c r="I4" s="18" t="n">
        <x:v>0.018</x:v>
      </x:c>
      <x:c r="J4" s="18" t="n">
        <x:v>0.021</x:v>
      </x:c>
      <x:c r="K4" s="20" t="n">
        <x:v>14.7</x:v>
      </x:c>
      <x:c r="L4" s="18" t="n">
        <x:v>0.09</x:v>
      </x:c>
      <x:c r="M4" s="18" t="n">
        <x:v>0.98</x:v>
      </x:c>
      <x:c r="N4" s="14" t="str">
        <x:v>Use a lighter reactivation message focused on relevance and urgency.</x:v>
      </x:c>
    </x:row>
  </x:sheetData>
  <x:pageMargins left="0.7" right="0.7" top="0.75" bottom="0.75" header="0.3" footer="0.3"/>
  <x:tableParts count="1">
    <x:tablePart xmlns:r="http://schemas.openxmlformats.org/officeDocument/2006/relationships" r:id="Rea8a353f54284b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4" hidden="0" customWidth="1"/>
    <x:col min="4" max="4" width="14" hidden="0" customWidth="1"/>
    <x:col min="5" max="5" width="14" hidden="0" customWidth="1"/>
    <x:col min="6" max="6" width="10" hidden="0" customWidth="1"/>
    <x:col min="7" max="7" width="38" hidden="0" customWidth="1"/>
  </x:cols>
  <x:sheetData>
    <x:row r="1">
      <x:c r="A1" s="7" t="str">
        <x:v>Control Gate</x:v>
      </x:c>
      <x:c r="B1" s="7" t="str">
        <x:v>Evidence Required</x:v>
      </x:c>
      <x:c r="C1" s="7" t="str">
        <x:v>Owner</x:v>
      </x:c>
      <x:c r="D1" s="7" t="str">
        <x:v>Due Date</x:v>
      </x:c>
      <x:c r="E1" s="7" t="str">
        <x:v>Status</x:v>
      </x:c>
      <x:c r="F1" s="7" t="str">
        <x:v>Pass?</x:v>
      </x:c>
      <x:c r="G1" s="7" t="str">
        <x:v>Notes</x:v>
      </x:c>
    </x:row>
    <x:row r="2">
      <x:c r="A2" s="14" t="str">
        <x:v>Offer Terms Approved</x:v>
      </x:c>
      <x:c r="B2" s="14" t="str">
        <x:v>Final T&amp;Cs with eligibility, dates, exclusions</x:v>
      </x:c>
      <x:c r="C2" s="14" t="str">
        <x:v>Legal</x:v>
      </x:c>
      <x:c r="D2" s="16" t="n">
        <x:v>46086</x:v>
      </x:c>
      <x:c r="E2" s="14" t="str">
        <x:v>Complete</x:v>
      </x:c>
      <x:c r="F2" s="14" t="str">
        <x:v>Yes</x:v>
      </x:c>
      <x:c r="G2" s="14" t="str">
        <x:v>No unresolved legal comments.</x:v>
      </x:c>
    </x:row>
    <x:row r="3">
      <x:c r="A3" s="14" t="str">
        <x:v>Regulatory Compliance Review</x:v>
      </x:c>
      <x:c r="B3" s="14" t="str">
        <x:v>Marketing claims, disclosures, and fee/reward language checked</x:v>
      </x:c>
      <x:c r="C3" s="14" t="str">
        <x:v>Compliance</x:v>
      </x:c>
      <x:c r="D3" s="16" t="n">
        <x:v>46091</x:v>
      </x:c>
      <x:c r="E3" s="14" t="str">
        <x:v>Complete</x:v>
      </x:c>
      <x:c r="F3" s="14" t="str">
        <x:v>Yes</x:v>
      </x:c>
      <x:c r="G3" s="14" t="str">
        <x:v>All marketing language aligned to approved offer.</x:v>
      </x:c>
    </x:row>
    <x:row r="4">
      <x:c r="A4" s="14" t="str">
        <x:v>French Translation QA</x:v>
      </x:c>
      <x:c r="B4" s="14" t="str">
        <x:v>French copy reviewed against final English master</x:v>
      </x:c>
      <x:c r="C4" s="14" t="str">
        <x:v>Translation + Compliance</x:v>
      </x:c>
      <x:c r="D4" s="16" t="n">
        <x:v>46101</x:v>
      </x:c>
      <x:c r="E4" s="14" t="str">
        <x:v>Complete</x:v>
      </x:c>
      <x:c r="F4" s="14" t="str">
        <x:v>Yes</x:v>
      </x:c>
      <x:c r="G4" s="14" t="str">
        <x:v>No meaning drift between English and French.</x:v>
      </x:c>
    </x:row>
    <x:row r="5">
      <x:c r="A5" s="14" t="str">
        <x:v>Digital QA</x:v>
      </x:c>
      <x:c r="B5" s="14" t="str">
        <x:v>Links, UTM tags, landing pages, and app placement tested</x:v>
      </x:c>
      <x:c r="C5" s="14" t="str">
        <x:v>Digital + Analytics</x:v>
      </x:c>
      <x:c r="D5" s="16" t="n">
        <x:v>46118</x:v>
      </x:c>
      <x:c r="E5" s="14" t="str">
        <x:v>Complete</x:v>
      </x:c>
      <x:c r="F5" s="14" t="str">
        <x:v>Yes</x:v>
      </x:c>
      <x:c r="G5" s="14" t="str">
        <x:v>Tracking tags validated by segment and channel.</x:v>
      </x:c>
    </x:row>
    <x:row r="6">
      <x:c r="A6" s="14" t="str">
        <x:v>Customer Experience Check</x:v>
      </x:c>
      <x:c r="B6" s="14" t="str">
        <x:v>Customer journey tested from message to redemption</x:v>
      </x:c>
      <x:c r="C6" s="14" t="str">
        <x:v>Customer Marketing</x:v>
      </x:c>
      <x:c r="D6" s="16" t="n">
        <x:v>46121</x:v>
      </x:c>
      <x:c r="E6" s="14" t="str">
        <x:v>Complete</x:v>
      </x:c>
      <x:c r="F6" s="14" t="str">
        <x:v>Yes</x:v>
      </x:c>
      <x:c r="G6" s="14" t="str">
        <x:v>Redemption path clear and timely.</x:v>
      </x:c>
    </x:row>
    <x:row r="7">
      <x:c r="A7" s="14" t="str">
        <x:v>Audit Archive</x:v>
      </x:c>
      <x:c r="B7" s="14" t="str">
        <x:v>Final approvals and launch evidence saved</x:v>
      </x:c>
      <x:c r="C7" s="14" t="str">
        <x:v>Marketing Ops</x:v>
      </x:c>
      <x:c r="D7" s="16" t="n">
        <x:v>46164</x:v>
      </x:c>
      <x:c r="E7" s="14" t="str">
        <x:v>Complete</x:v>
      </x:c>
      <x:c r="F7" s="14" t="str">
        <x:v>Yes</x:v>
      </x:c>
      <x:c r="G7" s="14" t="str">
        <x:v>SharePoint-ready folder structure.</x:v>
      </x:c>
    </x:row>
  </x:sheetData>
  <x:conditionalFormatting sqref="F2:F7">
    <x:cfRule type="expression" dxfId="4" priority="1">
      <x:formula>F2="Yes"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267c3c46a64e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3" t="str">
        <x:v>Status</x:v>
      </x:c>
      <x:c r="B1" s="3" t="str">
        <x:v>Priority</x:v>
      </x:c>
      <x:c r="C1" s="3" t="str">
        <x:v>Function</x:v>
      </x:c>
    </x:row>
    <x:row r="2">
      <x:c r="A2" t="str">
        <x:v>Not Started</x:v>
      </x:c>
      <x:c r="B2" t="str">
        <x:v>High</x:v>
      </x:c>
      <x:c r="C2" t="str">
        <x:v>Strategy</x:v>
      </x:c>
    </x:row>
    <x:row r="3">
      <x:c r="A3" t="str">
        <x:v>In Progress</x:v>
      </x:c>
      <x:c r="B3" t="str">
        <x:v>Medium</x:v>
      </x:c>
      <x:c r="C3" t="str">
        <x:v>Creative</x:v>
      </x:c>
    </x:row>
    <x:row r="4">
      <x:c r="A4" t="str">
        <x:v>Blocked</x:v>
      </x:c>
      <x:c r="B4" t="str">
        <x:v>Low</x:v>
      </x:c>
      <x:c r="C4" t="str">
        <x:v>Legal</x:v>
      </x:c>
    </x:row>
    <x:row r="5">
      <x:c r="A5" t="str">
        <x:v>Complete</x:v>
      </x:c>
      <x:c r="B5" t="str"/>
      <x:c r="C5" t="str">
        <x:v>Compliance</x:v>
      </x:c>
    </x:row>
    <x:row r="6">
      <x:c r="A6" t="str">
        <x:v>At Risk</x:v>
      </x:c>
      <x:c r="B6" t="str"/>
      <x:c r="C6" t="str">
        <x:v>Translation</x:v>
      </x:c>
    </x:row>
    <x:row r="7">
      <x:c r="A7" t="str">
        <x:v>Ready for Approval</x:v>
      </x:c>
      <x:c r="B7" t="str"/>
      <x:c r="C7" t="str">
        <x:v>Digital</x:v>
      </x:c>
    </x:row>
    <x:row r="8">
      <x:c r="A8" t="str">
        <x:v>Approved</x:v>
      </x:c>
      <x:c r="B8" t="str"/>
      <x:c r="C8" t="str">
        <x:v>Analytics</x:v>
      </x:c>
    </x:row>
    <x:row r="9">
      <x:c r="A9" t="str"/>
      <x:c r="B9" t="str"/>
      <x:c r="C9" t="str">
        <x:v>Leadership</x:v>
      </x:c>
    </x:row>
  </x:sheetData>
  <x:pageMargins left="0.7" right="0.7" top="0.75" bottom="0.75" header="0.3" footer="0.3"/>
</x:worksheet>
</file>